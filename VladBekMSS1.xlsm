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Михаил\Desktop\"/>
    </mc:Choice>
  </mc:AlternateContent>
  <bookViews>
    <workbookView xWindow="0" yWindow="0" windowWidth="28800" windowHeight="12435"/>
  </bookViews>
  <sheets>
    <sheet name="Лист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5" i="1" l="1"/>
  <c r="K12" i="1"/>
  <c r="AI15" i="1" l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I15" i="1"/>
  <c r="H15" i="1"/>
  <c r="C5" i="1"/>
  <c r="AJ13" i="1"/>
  <c r="F13" i="1"/>
  <c r="H12" i="1"/>
  <c r="I12" i="1"/>
  <c r="J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G12" i="1"/>
  <c r="C4" i="1"/>
</calcChain>
</file>

<file path=xl/sharedStrings.xml><?xml version="1.0" encoding="utf-8"?>
<sst xmlns="http://schemas.openxmlformats.org/spreadsheetml/2006/main" count="12" uniqueCount="11">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</sst>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1" xfId="0" applyNumberFormat="1" applyBorder="1"/>
    <xf numFmtId="0" fontId="0" fillId="0" borderId="0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806247151595422E-2"/>
          <c:y val="5.1879506546803213E-2"/>
          <c:w val="0.89355083131551394"/>
          <c:h val="0.88548091014513242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Лист1!$G$13:$AI$13</c:f>
              <c:numCache>
                <c:formatCode>General</c:formatCode>
                <c:ptCount val="29"/>
                <c:pt idx="0">
                  <c:v>278.92485458299461</c:v>
                </c:pt>
                <c:pt idx="1">
                  <c:v>257.84970916598911</c:v>
                </c:pt>
                <c:pt idx="2">
                  <c:v>237.53355869663861</c:v>
                </c:pt>
                <c:pt idx="3">
                  <c:v>217.21740822728796</c:v>
                </c:pt>
                <c:pt idx="4">
                  <c:v>198.3599265680223</c:v>
                </c:pt>
                <c:pt idx="5">
                  <c:v>179.50244490875662</c:v>
                </c:pt>
                <c:pt idx="6">
                  <c:v>162.69324341661451</c:v>
                </c:pt>
                <c:pt idx="7">
                  <c:v>145.8840419244724</c:v>
                </c:pt>
                <c:pt idx="8">
                  <c:v>131.56710706262766</c:v>
                </c:pt>
                <c:pt idx="9">
                  <c:v>117.25017220078294</c:v>
                </c:pt>
                <c:pt idx="10">
                  <c:v>105.70670973787173</c:v>
                </c:pt>
                <c:pt idx="11">
                  <c:v>94.16324727496054</c:v>
                </c:pt>
                <c:pt idx="12">
                  <c:v>85.512371845847568</c:v>
                </c:pt>
                <c:pt idx="13">
                  <c:v>76.86149641673461</c:v>
                </c:pt>
                <c:pt idx="14">
                  <c:v>71.075030928121379</c:v>
                </c:pt>
                <c:pt idx="15">
                  <c:v>65.288565439508147</c:v>
                </c:pt>
                <c:pt idx="16">
                  <c:v>62.214411473368884</c:v>
                </c:pt>
                <c:pt idx="17">
                  <c:v>59.140257507229634</c:v>
                </c:pt>
                <c:pt idx="18">
                  <c:v>58.52863075261709</c:v>
                </c:pt>
                <c:pt idx="19">
                  <c:v>57.917003998004546</c:v>
                </c:pt>
                <c:pt idx="20">
                  <c:v>59.445040563376047</c:v>
                </c:pt>
                <c:pt idx="21">
                  <c:v>60.973077128747548</c:v>
                </c:pt>
                <c:pt idx="22">
                  <c:v>64.265277564506732</c:v>
                </c:pt>
                <c:pt idx="23">
                  <c:v>67.557478000265917</c:v>
                </c:pt>
                <c:pt idx="24">
                  <c:v>72.201425148335744</c:v>
                </c:pt>
                <c:pt idx="25">
                  <c:v>76.845372296405586</c:v>
                </c:pt>
                <c:pt idx="26">
                  <c:v>82.403553217509312</c:v>
                </c:pt>
                <c:pt idx="27">
                  <c:v>87.961734138613053</c:v>
                </c:pt>
                <c:pt idx="28">
                  <c:v>93.980867069306527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775384"/>
        <c:axId val="453772248"/>
      </c:scatterChart>
      <c:valAx>
        <c:axId val="453775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3772248"/>
        <c:crosses val="autoZero"/>
        <c:crossBetween val="midCat"/>
      </c:valAx>
      <c:valAx>
        <c:axId val="453772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3775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163286</xdr:colOff>
      <xdr:row>18</xdr:row>
      <xdr:rowOff>183149</xdr:rowOff>
    </xdr:from>
    <xdr:to>
      <xdr:col>30</xdr:col>
      <xdr:colOff>231588</xdr:colOff>
      <xdr:row>38</xdr:row>
      <xdr:rowOff>165687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J15"/>
  <sheetViews>
    <sheetView tabSelected="1" zoomScale="70" zoomScaleNormal="70" workbookViewId="0">
      <selection activeCell="W20" sqref="W20"/>
    </sheetView>
  </sheetViews>
  <sheetFormatPr defaultRowHeight="15" x14ac:dyDescent="0.25"/>
  <cols>
    <col min="3" max="3" width="9.85546875" customWidth="1"/>
  </cols>
  <sheetData>
    <row r="3" spans="2:36" x14ac:dyDescent="0.25">
      <c r="B3" s="2" t="s">
        <v>0</v>
      </c>
      <c r="C3" s="2">
        <v>0.1</v>
      </c>
      <c r="H3" s="5"/>
      <c r="I3" s="5"/>
      <c r="J3" s="5"/>
      <c r="L3" s="5"/>
      <c r="M3" s="5"/>
      <c r="N3" s="5"/>
    </row>
    <row r="4" spans="2:36" x14ac:dyDescent="0.25">
      <c r="B4" s="2" t="s">
        <v>1</v>
      </c>
      <c r="C4" s="2">
        <f>C3/30</f>
        <v>3.3333333333333335E-3</v>
      </c>
      <c r="H4" s="5"/>
      <c r="I4" s="5"/>
      <c r="J4" s="5"/>
      <c r="L4" s="5"/>
      <c r="M4" s="5"/>
      <c r="N4" s="5"/>
    </row>
    <row r="5" spans="2:36" x14ac:dyDescent="0.25">
      <c r="B5" s="2" t="s">
        <v>2</v>
      </c>
      <c r="C5" s="2">
        <f>(C9*C8*C4^2)/(2*C10)</f>
        <v>0.4333333333333334</v>
      </c>
      <c r="H5" s="5"/>
      <c r="I5" s="5"/>
      <c r="J5" s="5"/>
      <c r="L5" s="5"/>
      <c r="M5" s="5"/>
      <c r="N5" s="5"/>
    </row>
    <row r="6" spans="2:36" x14ac:dyDescent="0.25">
      <c r="B6" s="2" t="s">
        <v>3</v>
      </c>
      <c r="C6" s="2">
        <v>60</v>
      </c>
      <c r="D6">
        <v>60.43333333333333</v>
      </c>
      <c r="H6" s="5"/>
      <c r="I6" s="5"/>
      <c r="J6" s="5"/>
      <c r="L6" s="5"/>
      <c r="M6" s="5"/>
      <c r="N6" s="5"/>
    </row>
    <row r="7" spans="2:36" x14ac:dyDescent="0.25">
      <c r="B7" s="1"/>
      <c r="C7" s="1"/>
      <c r="L7" s="5"/>
      <c r="M7" s="5"/>
      <c r="N7" s="5"/>
    </row>
    <row r="8" spans="2:36" x14ac:dyDescent="0.25">
      <c r="B8" s="2" t="s">
        <v>4</v>
      </c>
      <c r="C8" s="2">
        <v>460</v>
      </c>
    </row>
    <row r="9" spans="2:36" x14ac:dyDescent="0.25">
      <c r="B9" s="2" t="s">
        <v>5</v>
      </c>
      <c r="C9" s="2">
        <v>7800</v>
      </c>
    </row>
    <row r="10" spans="2:36" x14ac:dyDescent="0.25">
      <c r="B10" s="2" t="s">
        <v>6</v>
      </c>
      <c r="C10" s="2">
        <v>46</v>
      </c>
    </row>
    <row r="11" spans="2:36" x14ac:dyDescent="0.25">
      <c r="B11" s="1"/>
      <c r="C11" s="1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25">
      <c r="B12" s="2" t="s">
        <v>8</v>
      </c>
      <c r="C12" s="2">
        <v>300</v>
      </c>
      <c r="E12" t="s">
        <v>0</v>
      </c>
      <c r="F12" s="3">
        <v>0</v>
      </c>
      <c r="G12" s="4">
        <f>F12+$C$4</f>
        <v>3.3333333333333335E-3</v>
      </c>
      <c r="H12" s="4">
        <f t="shared" ref="H12:AJ12" si="0">G12+$C$4</f>
        <v>6.6666666666666671E-3</v>
      </c>
      <c r="I12" s="4">
        <f t="shared" si="0"/>
        <v>0.01</v>
      </c>
      <c r="J12" s="4">
        <f t="shared" si="0"/>
        <v>1.3333333333333334E-2</v>
      </c>
      <c r="K12" s="4">
        <f>J12+$C$4</f>
        <v>1.6666666666666666E-2</v>
      </c>
      <c r="L12" s="4">
        <f t="shared" si="0"/>
        <v>0.02</v>
      </c>
      <c r="M12" s="4">
        <f t="shared" si="0"/>
        <v>2.3333333333333334E-2</v>
      </c>
      <c r="N12" s="4">
        <f t="shared" si="0"/>
        <v>2.6666666666666668E-2</v>
      </c>
      <c r="O12" s="4">
        <f t="shared" si="0"/>
        <v>3.0000000000000002E-2</v>
      </c>
      <c r="P12" s="4">
        <f t="shared" si="0"/>
        <v>3.3333333333333333E-2</v>
      </c>
      <c r="Q12" s="4">
        <f t="shared" si="0"/>
        <v>3.6666666666666667E-2</v>
      </c>
      <c r="R12" s="4">
        <f t="shared" si="0"/>
        <v>0.04</v>
      </c>
      <c r="S12" s="4">
        <f t="shared" si="0"/>
        <v>4.3333333333333335E-2</v>
      </c>
      <c r="T12" s="4">
        <f t="shared" si="0"/>
        <v>4.6666666666666669E-2</v>
      </c>
      <c r="U12" s="4">
        <f t="shared" si="0"/>
        <v>0.05</v>
      </c>
      <c r="V12" s="4">
        <f t="shared" si="0"/>
        <v>5.3333333333333337E-2</v>
      </c>
      <c r="W12" s="4">
        <f t="shared" si="0"/>
        <v>5.6666666666666671E-2</v>
      </c>
      <c r="X12" s="4">
        <f t="shared" si="0"/>
        <v>6.0000000000000005E-2</v>
      </c>
      <c r="Y12" s="4">
        <f t="shared" si="0"/>
        <v>6.3333333333333339E-2</v>
      </c>
      <c r="Z12" s="4">
        <f t="shared" si="0"/>
        <v>6.6666666666666666E-2</v>
      </c>
      <c r="AA12" s="4">
        <f t="shared" si="0"/>
        <v>6.9999999999999993E-2</v>
      </c>
      <c r="AB12" s="4">
        <f t="shared" si="0"/>
        <v>7.333333333333332E-2</v>
      </c>
      <c r="AC12" s="4">
        <f t="shared" si="0"/>
        <v>7.6666666666666647E-2</v>
      </c>
      <c r="AD12" s="4">
        <f t="shared" si="0"/>
        <v>7.9999999999999974E-2</v>
      </c>
      <c r="AE12" s="4">
        <f t="shared" si="0"/>
        <v>8.3333333333333301E-2</v>
      </c>
      <c r="AF12" s="4">
        <f t="shared" si="0"/>
        <v>8.6666666666666628E-2</v>
      </c>
      <c r="AG12" s="4">
        <f t="shared" si="0"/>
        <v>8.9999999999999955E-2</v>
      </c>
      <c r="AH12" s="4">
        <f t="shared" si="0"/>
        <v>9.3333333333333282E-2</v>
      </c>
      <c r="AI12" s="4">
        <f t="shared" si="0"/>
        <v>9.6666666666666609E-2</v>
      </c>
      <c r="AJ12" s="4">
        <f t="shared" si="0"/>
        <v>9.9999999999999936E-2</v>
      </c>
    </row>
    <row r="13" spans="2:36" x14ac:dyDescent="0.25">
      <c r="B13" s="2" t="s">
        <v>9</v>
      </c>
      <c r="C13" s="2">
        <v>100</v>
      </c>
      <c r="E13" t="s">
        <v>7</v>
      </c>
      <c r="F13" s="1">
        <f>C12</f>
        <v>300</v>
      </c>
      <c r="G13">
        <v>278.92485458299461</v>
      </c>
      <c r="H13">
        <v>257.84970916598911</v>
      </c>
      <c r="I13">
        <v>237.53355869663861</v>
      </c>
      <c r="J13">
        <v>217.21740822728796</v>
      </c>
      <c r="K13">
        <v>198.3599265680223</v>
      </c>
      <c r="L13">
        <v>179.50244490875662</v>
      </c>
      <c r="M13">
        <v>162.69324341661451</v>
      </c>
      <c r="N13">
        <v>145.8840419244724</v>
      </c>
      <c r="O13">
        <v>131.56710706262766</v>
      </c>
      <c r="P13">
        <v>117.25017220078294</v>
      </c>
      <c r="Q13">
        <v>105.70670973787173</v>
      </c>
      <c r="R13">
        <v>94.16324727496054</v>
      </c>
      <c r="S13">
        <v>85.512371845847568</v>
      </c>
      <c r="T13">
        <v>76.86149641673461</v>
      </c>
      <c r="U13">
        <v>71.075030928121379</v>
      </c>
      <c r="V13">
        <v>65.288565439508147</v>
      </c>
      <c r="W13">
        <v>62.214411473368884</v>
      </c>
      <c r="X13">
        <v>59.140257507229634</v>
      </c>
      <c r="Y13">
        <v>58.52863075261709</v>
      </c>
      <c r="Z13">
        <v>57.917003998004546</v>
      </c>
      <c r="AA13">
        <v>59.445040563376047</v>
      </c>
      <c r="AB13">
        <v>60.973077128747548</v>
      </c>
      <c r="AC13">
        <v>64.265277564506732</v>
      </c>
      <c r="AD13">
        <v>67.557478000265917</v>
      </c>
      <c r="AE13">
        <v>72.201425148335744</v>
      </c>
      <c r="AF13">
        <v>76.845372296405586</v>
      </c>
      <c r="AG13">
        <v>82.403553217509312</v>
      </c>
      <c r="AH13">
        <v>87.961734138613053</v>
      </c>
      <c r="AI13">
        <v>93.980867069306527</v>
      </c>
      <c r="AJ13" s="1">
        <f>C13</f>
        <v>100</v>
      </c>
    </row>
    <row r="15" spans="2:36" x14ac:dyDescent="0.25">
      <c r="E15" t="s">
        <v>10</v>
      </c>
      <c r="G15">
        <f>G13+(($C$10*$C$5)/($C$9*$C$8))*((H13-2*G13+F13)/($C$4^2))</f>
        <v>278.92485458299456</v>
      </c>
      <c r="H15">
        <f t="shared" ref="H15:AI15" si="1">H13+(($C$10*$C$5)/($C$9*$C$8))*((I13-2*H13+G13)/($C$4^2))</f>
        <v>258.2292066398166</v>
      </c>
      <c r="I15">
        <f t="shared" si="1"/>
        <v>237.53355869663855</v>
      </c>
      <c r="J15">
        <f t="shared" si="1"/>
        <v>217.94674263233046</v>
      </c>
      <c r="K15">
        <f t="shared" si="1"/>
        <v>198.35992656802227</v>
      </c>
      <c r="L15">
        <f t="shared" si="1"/>
        <v>180.52658499231842</v>
      </c>
      <c r="M15">
        <f t="shared" si="1"/>
        <v>162.69324341661451</v>
      </c>
      <c r="N15">
        <f t="shared" si="1"/>
        <v>147.13017523962108</v>
      </c>
      <c r="O15">
        <f t="shared" si="1"/>
        <v>131.56710706262766</v>
      </c>
      <c r="P15">
        <f t="shared" si="1"/>
        <v>118.63690840024969</v>
      </c>
      <c r="Q15">
        <f t="shared" si="1"/>
        <v>105.70670973787173</v>
      </c>
      <c r="R15">
        <f t="shared" si="1"/>
        <v>95.609540791859644</v>
      </c>
      <c r="S15">
        <f t="shared" si="1"/>
        <v>85.512371845847582</v>
      </c>
      <c r="T15">
        <f t="shared" si="1"/>
        <v>78.29370138698448</v>
      </c>
      <c r="U15">
        <f t="shared" si="1"/>
        <v>71.075030928121379</v>
      </c>
      <c r="V15">
        <f t="shared" si="1"/>
        <v>66.644721200745124</v>
      </c>
      <c r="W15">
        <f t="shared" si="1"/>
        <v>62.214411473368891</v>
      </c>
      <c r="X15">
        <f t="shared" si="1"/>
        <v>60.371521112992987</v>
      </c>
      <c r="Y15">
        <f t="shared" si="1"/>
        <v>58.52863075261709</v>
      </c>
      <c r="Z15">
        <f t="shared" si="1"/>
        <v>58.986835657996565</v>
      </c>
      <c r="AA15">
        <f t="shared" si="1"/>
        <v>59.445040563376047</v>
      </c>
      <c r="AB15">
        <f t="shared" si="1"/>
        <v>61.855159063941386</v>
      </c>
      <c r="AC15">
        <f t="shared" si="1"/>
        <v>64.265277564506732</v>
      </c>
      <c r="AD15">
        <f t="shared" si="1"/>
        <v>68.233351356421238</v>
      </c>
      <c r="AE15">
        <f t="shared" si="1"/>
        <v>72.201425148335744</v>
      </c>
      <c r="AF15">
        <f t="shared" si="1"/>
        <v>77.302489182922528</v>
      </c>
      <c r="AG15">
        <f t="shared" si="1"/>
        <v>82.403553217509312</v>
      </c>
      <c r="AH15">
        <f t="shared" si="1"/>
        <v>88.19221014340792</v>
      </c>
      <c r="AI15">
        <f t="shared" si="1"/>
        <v>93.980867069306527</v>
      </c>
    </row>
  </sheetData>
  <conditionalFormatting sqref="F13:AJ1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Михаил</cp:lastModifiedBy>
  <dcterms:created xsi:type="dcterms:W3CDTF">2021-02-28T09:47:32Z</dcterms:created>
  <dcterms:modified xsi:type="dcterms:W3CDTF">2021-02-28T18:45:37Z</dcterms:modified>
</cp:coreProperties>
</file>